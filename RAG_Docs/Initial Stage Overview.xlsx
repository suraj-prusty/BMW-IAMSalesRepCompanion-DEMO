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eesha_arya_accenture_com/Documents/"/>
    </mc:Choice>
  </mc:AlternateContent>
  <xr:revisionPtr revIDLastSave="0" documentId="8_{2A5CF729-1EC4-4857-BD4E-248999512881}" xr6:coauthVersionLast="47" xr6:coauthVersionMax="47" xr10:uidLastSave="{00000000-0000-0000-0000-000000000000}"/>
  <bookViews>
    <workbookView xWindow="-110" yWindow="-110" windowWidth="19420" windowHeight="11500" xr2:uid="{4EE99DAB-4A65-4B98-BABA-400C4866F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32" i="1"/>
  <c r="I31" i="1"/>
  <c r="G25" i="1"/>
  <c r="G20" i="1"/>
  <c r="G15" i="1"/>
  <c r="G9" i="1"/>
</calcChain>
</file>

<file path=xl/sharedStrings.xml><?xml version="1.0" encoding="utf-8"?>
<sst xmlns="http://schemas.openxmlformats.org/spreadsheetml/2006/main" count="171" uniqueCount="105">
  <si>
    <t>Ticket #</t>
  </si>
  <si>
    <t>Activity</t>
  </si>
  <si>
    <t>Phase</t>
  </si>
  <si>
    <t>Step #</t>
  </si>
  <si>
    <t>Step Name</t>
  </si>
  <si>
    <t>Details</t>
  </si>
  <si>
    <t>Current Effort (hrs)</t>
  </si>
  <si>
    <t>AI-enabled Effort (hrs)</t>
  </si>
  <si>
    <t>Reduction %</t>
  </si>
  <si>
    <t>AI / Automation Lever</t>
  </si>
  <si>
    <t>Dealer Visit (Authorized Dealer)</t>
  </si>
  <si>
    <t>Pre-visit</t>
  </si>
  <si>
    <t>Review dealer pre-read</t>
  </si>
  <si>
    <t>Created and uploaded by CoE- Centralised task ( Around KPIs)</t>
  </si>
  <si>
    <t>Pre-visit + On site</t>
  </si>
  <si>
    <t>Prepare visit and discussion agenda- Go through with dealer team</t>
  </si>
  <si>
    <t>One pager Preparation- 15 mins + Discussion and go-through of Agenda by Team member- 15 mins</t>
  </si>
  <si>
    <t>(One pager generation task Automated by AI- ( Savings of up to 15 mins through AI))</t>
  </si>
  <si>
    <t>On-site</t>
  </si>
  <si>
    <t>Management alignment meeting</t>
  </si>
  <si>
    <t>Discussion with Management on visit purpose, Their growth ambition, issues affecting IR/garage chain sales, - 15 mins</t>
  </si>
  <si>
    <t>( AI role - Meeting assistant)</t>
  </si>
  <si>
    <t>Operations Review- Highlight Efficiency issues, KPI gaps, Top 3-4 Actions</t>
  </si>
  <si>
    <t>- Based on Pre-report from CoE, observe the highlighted issues in current processes, versus benchmark ( around efficiency)
- Provide Pin pointed actions ( Affecting top 3-4 actions/ kpis)- - 45 mins task
- - Buffer for any unexpected topic/ issue</t>
  </si>
  <si>
    <t>(AI will help highlight Points from Steps 1 and 2)</t>
  </si>
  <si>
    <t>Action Plan, RCA, Training Needs identification</t>
  </si>
  <si>
    <t>- Creating an action plan
- RCA identified,
-Develop a suggested plan
- Identification of training needs etc- best way of training? 30 mins task</t>
  </si>
  <si>
    <t xml:space="preserve">
( AI role - Meeting assistant)</t>
  </si>
  <si>
    <t>Draft visit report and action plan,</t>
  </si>
  <si>
    <t>- Finalise Action plan-
- Draft visit Report and agreed points - 30 mins</t>
  </si>
  <si>
    <t>(AI can help draft steps 5 &amp; 6 faster, as it can happen in parallel- Can reduce time by up to 30 mins.)</t>
  </si>
  <si>
    <t>Post-visit</t>
  </si>
  <si>
    <t>Upload Action plan, and follow-up plan setup</t>
  </si>
  <si>
    <t xml:space="preserve">-Upload agreed Plan
-Draft email/ communication on next steps to all stakeholders
- Plan follow up steps- 15 mins </t>
  </si>
  <si>
    <t>(Automated by AI Agents- to validate, review, verify/ confirm button/ opens your email with draft( 15 mins exercise can be reduced to 5 mins))</t>
  </si>
  <si>
    <t>TICKET 13- total effort (in PD- 0.35) -&gt;</t>
  </si>
  <si>
    <t>Dealer Assessment (Authorized Dealer)</t>
  </si>
  <si>
    <t>Pre-assessment</t>
  </si>
  <si>
    <t>Scope definition, Assessment Templates, Pre-read data</t>
  </si>
  <si>
    <t>Created and uploaded by CoE- Centralised task</t>
  </si>
  <si>
    <t>Opening meeting and Agenda discussion based on One-pager</t>
  </si>
  <si>
    <t>One pager Preparation- 15-30 mins + Discussion and go-through of Agenda by Team member, - 15 mins</t>
  </si>
  <si>
    <t>Audit calibration, , Request data and evidence</t>
  </si>
  <si>
    <t>Discussion of Audit plan- requesting evidence etc- 15 mins for meeting</t>
  </si>
  <si>
    <t>Process Audit &amp; Observations, Data validation</t>
  </si>
  <si>
    <t>- Thorough Audit-
- As-is Process analysis
- Gap Identification,
- Buffer for any unexpected topic/ issue
- 1.5 hr exercise</t>
  </si>
  <si>
    <t>(AI will record real time and create a summary report for sign off)</t>
  </si>
  <si>
    <t>On-site + Post-assessment</t>
  </si>
  <si>
    <t>Sign off, Report Creation, next steps alignment</t>
  </si>
  <si>
    <t>- Sign off on Final Report
- Next Steps of Action
- Follow up plan Task would be be 30 mins,</t>
  </si>
  <si>
    <t>( since report creation would have been in scope- AI Can reduce to 15 mins.)</t>
  </si>
  <si>
    <t>TICKET 14- total effort (in PD- 0.35) -&gt;</t>
  </si>
  <si>
    <t>Dealer Coaching (Authorized Dealer)</t>
  </si>
  <si>
    <t>Pre-coaching</t>
  </si>
  <si>
    <t>Select coaching themes- KPIs, Action plan</t>
  </si>
  <si>
    <t>- KPI movements so far, 
- discussion on KPIs versus action plan for training
- Training Content- To be developed by COE
(30 mins)</t>
  </si>
  <si>
    <t>(One pager/ content  generation task Automated by AI- ( Savings of up to 15 mins through AI))</t>
  </si>
  <si>
    <t>Review action items, Monitor progress, Undertake training on Corrective actions</t>
  </si>
  <si>
    <t>-Review of action items agreed 
- Discuss status shown on tool shows status - complete/in-progress/ delayed 
- Role based Training
( 2 hrs- human effort)</t>
  </si>
  <si>
    <t xml:space="preserve">
 ( AI helps in recording)</t>
  </si>
  <si>
    <t>Summary, Pre versus post coaching effort analysis</t>
  </si>
  <si>
    <t>-  summarising and sign off 
- Analysis of pre versus post coaching understanding 
-Buffer for any unexpected topic/ issue
1 hr activitiy</t>
  </si>
  <si>
    <t>( AI will help with creating the summary report,  would be a 30 mins activitiy-savings of up to 30 mins )</t>
  </si>
  <si>
    <t>Post-coaching</t>
  </si>
  <si>
    <t>Prepare and submit monthly dealer progress report to NSC in agreed format.</t>
  </si>
  <si>
    <t xml:space="preserve">- Submit NSC report on training feedback 
- Plan next steps of action,  scheduling reinforcement calls
- Post training progress and monitoring </t>
  </si>
  <si>
    <t>(Could be automated partially by the ai, and brought down to 15 mins exercise)</t>
  </si>
  <si>
    <t>TICKET 15- total effort (in PD- 0.5) -&gt;</t>
  </si>
  <si>
    <t>Individual Dealer Coaching</t>
  </si>
  <si>
    <t>- KPI movements so far, 
- individual target agreements
- discussion on KPIs versus action plan for training
- Training Content- To be developed by COE
1 hr</t>
  </si>
  <si>
    <t>-Review of action items agreed 
- Discuss customer structure, pricing, potential, ordering process
- Role based Training
- More deep dives, More excel tools
( 3 hrs- human effort)</t>
  </si>
  <si>
    <t>( AI helps in recording)</t>
  </si>
  <si>
    <t>-  summarising and sign off 
- Analysis of pre versus post coaching understanding 
-  Buffer for any unexpected topic/ issue
3 hr activitiy</t>
  </si>
  <si>
    <t xml:space="preserve">- Submit NSC report on training feedback , Individual dealer development plan
- Plan next steps of action,  scheduling reinforcement calls
- Post training progress and monitoring </t>
  </si>
  <si>
    <t>TICKET 16- total effort (in PD- 1) -&gt;</t>
  </si>
  <si>
    <t>Customer Visit (IRs / Garage Chains)</t>
  </si>
  <si>
    <t>Route Plan, Approach, Visit Plan</t>
  </si>
  <si>
    <t>Plan for number of visits, IR route map, confirmation on availability- 15 mins</t>
  </si>
  <si>
    <t>AI can help in route plan</t>
  </si>
  <si>
    <t xml:space="preserve">Business Plan, Selling pitch for IRs </t>
  </si>
  <si>
    <t>- Create a convincing Business plan/ selling pitch for purchasing bmw parts from ( dealer), - 15 mins</t>
  </si>
  <si>
    <t>AI can help draft sales pitch</t>
  </si>
  <si>
    <t>Relationship and needs discussion- Questionnaire discussion</t>
  </si>
  <si>
    <t>-  STANDARD QUESTIONNAIRE ( HOW MANY VEHICLES DO YOU SERVICE, 
- 5-7 questions- output of a simulation of parts consumption- change pitch accordingly)
- Discuss on competitive parts, understanding of purchase patterns ( data of local markets- need it beforehand ( not available in certain markets such as DE)) - 30 mins exercise</t>
  </si>
  <si>
    <t>AI can help draft customized standard questionnaire</t>
  </si>
  <si>
    <t>IR onboarding and systems/ tickets support</t>
  </si>
  <si>
    <t>-IR onboarding or resolve any support tickets if dealer already onboarded- 30 mins</t>
  </si>
  <si>
    <t>Present final partnership value proposition and next steps,</t>
  </si>
  <si>
    <t>- Final alignment on Onboarding/ next steps- 15 mins</t>
  </si>
  <si>
    <t>AI Can help draft next steps</t>
  </si>
  <si>
    <t>Write visit report and trigger dealer actions</t>
  </si>
  <si>
    <t>- Visit report  AND REVISIT PLAN- 15 mins</t>
  </si>
  <si>
    <t>AI Can help send out post visit actions</t>
  </si>
  <si>
    <t>TICKET 17- total effort (in PD-0.22)</t>
  </si>
  <si>
    <t>Customer Assessment (IRs / Garage Chains)</t>
  </si>
  <si>
    <t>Assessment Report plan and questionnaire development</t>
  </si>
  <si>
    <t>Develop customized questionnaire and assessment report - 15 mins</t>
  </si>
  <si>
    <t>- Run the  STANDARD QUESTIONNAIRE ( HOW MANY VEHICLES DO YOU SERVICE, 5-7 questions- output of a simulation of parts consumption- change pitch accordingly)- - Identifying potential / risky customers
- Create a ONE PAGER and action plan for Health check -30 mins exercise</t>
  </si>
  <si>
    <t xml:space="preserve">Discussion on turnover, Customer, </t>
  </si>
  <si>
    <t xml:space="preserve"> Turnover-Potential Assessment Report per customer (potential estimation, risk/benefit, indicators and potential investments).- 30 mins</t>
  </si>
  <si>
    <t>Finalise and Upload Health check report</t>
  </si>
  <si>
    <t>'- Health check (e.g. principles) and action plan is finalized and data  is uploaded in the local BMW system (NSC-Level). 15 mins</t>
  </si>
  <si>
    <t>Write NSC  visit report and trigger dealer actions</t>
  </si>
  <si>
    <t>- Final REPORT ( NSC Submission Package (summary, annexes, and data mappings)) AND REVISIT PLAN- 15 mins</t>
  </si>
  <si>
    <t>TICKET 18- total effort (in PD-0.22)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</si>
</sst>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Aptos Narrow"/>
      <family val="2"/>
      <scheme val="minor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sz val="10"/>
      <color rgb="FF0000FF"/>
      <name val="Aptos"/>
      <family val="2"/>
    </font>
    <font>
      <sz val="10"/>
      <color rgb="FF000000"/>
      <name val="Aptos"/>
      <family val="2"/>
    </font>
    <font>
      <sz val="10"/>
      <color rgb="FF008000"/>
      <name val="Aptos"/>
      <family val="2"/>
    </font>
    <font>
      <sz val="10"/>
      <name val="Aptos"/>
      <family val="2"/>
    </font>
    <font>
      <b/>
      <sz val="10"/>
      <color theme="1"/>
      <name val="Aptos"/>
      <family val="2"/>
    </font>
    <font>
      <b/>
      <sz val="10"/>
      <color rgb="FF0000FF"/>
      <name val="Aptos"/>
      <family val="2"/>
    </font>
    <font>
      <sz val="10"/>
      <color rgb="FFFF0000"/>
      <name val="Aptos"/>
      <family val="2"/>
    </font>
    <font>
      <b/>
      <sz val="1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2"/>
        <bgColor indexed="64"/>
      </patternFill>
    </fill>
    <fill>
      <patternFill patternType="solid">
        <fgColor rgb="FFD9EDEF"/>
        <bgColor rgb="FFDDEBF7"/>
      </patternFill>
    </fill>
    <fill>
      <patternFill patternType="solid">
        <fgColor rgb="FFE2F0D9"/>
        <bgColor rgb="FFD9EDE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rgb="FFFFFF00"/>
        <bgColor rgb="FFD9EDEF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164" fontId="3" fillId="4" borderId="5" xfId="0" applyNumberFormat="1" applyFont="1" applyFill="1" applyBorder="1" applyAlignment="1">
      <alignment horizontal="left" vertical="center" wrapText="1"/>
    </xf>
    <xf numFmtId="165" fontId="3" fillId="4" borderId="5" xfId="0" applyNumberFormat="1" applyFont="1" applyFill="1" applyBorder="1" applyAlignment="1">
      <alignment horizontal="left" vertical="center" wrapText="1"/>
    </xf>
    <xf numFmtId="164" fontId="4" fillId="5" borderId="5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3" borderId="5" xfId="0" quotePrefix="1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7" fillId="6" borderId="8" xfId="0" quotePrefix="1" applyFont="1" applyFill="1" applyBorder="1" applyAlignment="1">
      <alignment horizontal="left" vertical="center" wrapText="1"/>
    </xf>
    <xf numFmtId="164" fontId="8" fillId="7" borderId="8" xfId="0" applyNumberFormat="1" applyFont="1" applyFill="1" applyBorder="1" applyAlignment="1">
      <alignment horizontal="left" vertical="center" wrapText="1"/>
    </xf>
    <xf numFmtId="165" fontId="3" fillId="7" borderId="8" xfId="0" applyNumberFormat="1" applyFont="1" applyFill="1" applyBorder="1" applyAlignment="1">
      <alignment horizontal="left" vertical="center" wrapText="1"/>
    </xf>
    <xf numFmtId="164" fontId="4" fillId="8" borderId="8" xfId="0" applyNumberFormat="1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left" vertical="center" wrapText="1"/>
    </xf>
    <xf numFmtId="165" fontId="3" fillId="4" borderId="2" xfId="0" applyNumberFormat="1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2" fillId="3" borderId="2" xfId="0" quotePrefix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4" fontId="10" fillId="7" borderId="8" xfId="0" applyNumberFormat="1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165" fontId="3" fillId="4" borderId="11" xfId="0" applyNumberFormat="1" applyFont="1" applyFill="1" applyBorder="1" applyAlignment="1">
      <alignment horizontal="left" vertical="center" wrapText="1"/>
    </xf>
    <xf numFmtId="164" fontId="4" fillId="5" borderId="11" xfId="0" applyNumberFormat="1" applyFont="1" applyFill="1" applyBorder="1" applyAlignment="1">
      <alignment horizontal="left" vertical="center" wrapText="1"/>
    </xf>
    <xf numFmtId="165" fontId="3" fillId="4" borderId="8" xfId="0" applyNumberFormat="1" applyFont="1" applyFill="1" applyBorder="1" applyAlignment="1">
      <alignment horizontal="left" vertical="center" wrapText="1"/>
    </xf>
    <xf numFmtId="164" fontId="4" fillId="5" borderId="8" xfId="0" applyNumberFormat="1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numFmt numFmtId="164" formatCode="0.0"/>
      <fill>
        <patternFill patternType="solid">
          <fgColor rgb="FFD9EDEF"/>
          <bgColor rgb="FFE2F0D9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FF"/>
        <name val="Aptos"/>
        <family val="2"/>
        <scheme val="none"/>
      </font>
      <numFmt numFmtId="165" formatCode="0.0%"/>
      <fill>
        <patternFill patternType="solid">
          <fgColor rgb="FFDDEBF7"/>
          <bgColor rgb="FFD9EDE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fill>
        <patternFill>
          <bgColor theme="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89868-005E-4640-9FD8-9ED11AED0BE4}" name="SOPDetailTable4" displayName="SOPDetailTable4" ref="A1:J39" totalsRowShown="0" headerRowDxfId="1" dataDxfId="0" headerRowBorderDxfId="14" tableBorderDxfId="13" totalsRowBorderDxfId="12">
  <autoFilter ref="A1:J39" xr:uid="{A8989868-005E-4640-9FD8-9ED11AED0BE4}"/>
  <tableColumns count="10">
    <tableColumn id="1" xr3:uid="{11610C5D-236D-4928-BB48-20DE13142FF5}" name="Ticket #" dataDxfId="11"/>
    <tableColumn id="2" xr3:uid="{1F5CE392-3B0B-44E1-B216-B0CE39F0FEE2}" name="Activity" dataDxfId="10"/>
    <tableColumn id="3" xr3:uid="{3DAC80DA-1AED-4F6E-A059-D1B339F5378C}" name="Phase" dataDxfId="9"/>
    <tableColumn id="4" xr3:uid="{F1A7E0FF-EE15-4D74-9C50-55E62B016FEF}" name="Step #" dataDxfId="8"/>
    <tableColumn id="5" xr3:uid="{83046CE2-E76B-44F0-8CF1-39D805146AA3}" name="Step Name" dataDxfId="7"/>
    <tableColumn id="17" xr3:uid="{C91FCC13-8C78-4D0A-B46E-22C5E0CB89B4}" name="Details" dataDxfId="6"/>
    <tableColumn id="10" xr3:uid="{A5F90F97-4803-4C1E-8B08-6BD4A15F78F9}" name="Current Effort (hrs)" dataDxfId="5"/>
    <tableColumn id="13" xr3:uid="{7300BD98-4C17-4D33-90A5-2D2782214435}" name="AI-enabled Effort (hrs)" dataDxfId="4"/>
    <tableColumn id="14" xr3:uid="{7AE37E72-8508-4171-9A8C-0AE23F380619}" name="Reduction %" dataDxfId="3">
      <calculatedColumnFormula>G2*(1-H2)</calculatedColumnFormula>
    </tableColumn>
    <tableColumn id="12" xr3:uid="{44E89AA4-D7F2-4B4F-B6AA-145A58B573EB}" name="AI / Automation Leve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B954-448E-4C85-8EC0-0B87BEAD44D5}">
  <dimension ref="A1:J39"/>
  <sheetViews>
    <sheetView tabSelected="1" workbookViewId="0">
      <selection activeCell="E2" sqref="E2"/>
    </sheetView>
  </sheetViews>
  <sheetFormatPr defaultRowHeight="14.5" x14ac:dyDescent="0.35"/>
  <cols>
    <col min="1" max="3" width="16.36328125" style="38" customWidth="1"/>
    <col min="4" max="4" width="9.36328125" style="38" customWidth="1"/>
    <col min="5" max="5" width="24.1796875" style="38" customWidth="1"/>
    <col min="6" max="6" width="40.26953125" style="38" customWidth="1"/>
    <col min="7" max="7" width="10.08984375" style="38" customWidth="1"/>
    <col min="8" max="8" width="12" style="38" customWidth="1"/>
    <col min="9" max="9" width="7.7265625" style="38" customWidth="1"/>
    <col min="10" max="10" width="20" style="38" customWidth="1"/>
  </cols>
  <sheetData>
    <row r="1" spans="1:10" ht="2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26" x14ac:dyDescent="0.35">
      <c r="A2" s="25">
        <v>13</v>
      </c>
      <c r="B2" s="4" t="s">
        <v>10</v>
      </c>
      <c r="C2" s="4" t="s">
        <v>11</v>
      </c>
      <c r="D2" s="4">
        <v>1</v>
      </c>
      <c r="E2" s="4" t="s">
        <v>12</v>
      </c>
      <c r="F2" s="5" t="s">
        <v>13</v>
      </c>
      <c r="G2" s="6">
        <v>0</v>
      </c>
      <c r="H2" s="7"/>
      <c r="I2" s="8"/>
      <c r="J2" s="9"/>
    </row>
    <row r="3" spans="1:10" ht="52" x14ac:dyDescent="0.35">
      <c r="A3" s="25">
        <v>13</v>
      </c>
      <c r="B3" s="4" t="s">
        <v>10</v>
      </c>
      <c r="C3" s="4" t="s">
        <v>14</v>
      </c>
      <c r="D3" s="4">
        <v>2</v>
      </c>
      <c r="E3" s="4" t="s">
        <v>15</v>
      </c>
      <c r="F3" s="5" t="s">
        <v>16</v>
      </c>
      <c r="G3" s="6">
        <v>0.5</v>
      </c>
      <c r="H3" s="7"/>
      <c r="I3" s="8"/>
      <c r="J3" s="9" t="s">
        <v>17</v>
      </c>
    </row>
    <row r="4" spans="1:10" ht="52" x14ac:dyDescent="0.35">
      <c r="A4" s="25">
        <v>13</v>
      </c>
      <c r="B4" s="4" t="s">
        <v>10</v>
      </c>
      <c r="C4" s="4" t="s">
        <v>18</v>
      </c>
      <c r="D4" s="4">
        <v>3</v>
      </c>
      <c r="E4" s="4" t="s">
        <v>19</v>
      </c>
      <c r="F4" s="5" t="s">
        <v>20</v>
      </c>
      <c r="G4" s="6">
        <v>0.25</v>
      </c>
      <c r="H4" s="7"/>
      <c r="I4" s="8"/>
      <c r="J4" s="9" t="s">
        <v>21</v>
      </c>
    </row>
    <row r="5" spans="1:10" ht="117" x14ac:dyDescent="0.35">
      <c r="A5" s="25">
        <v>13</v>
      </c>
      <c r="B5" s="4" t="s">
        <v>10</v>
      </c>
      <c r="C5" s="4" t="s">
        <v>18</v>
      </c>
      <c r="D5" s="4">
        <v>4</v>
      </c>
      <c r="E5" s="4" t="s">
        <v>22</v>
      </c>
      <c r="F5" s="10" t="s">
        <v>23</v>
      </c>
      <c r="G5" s="6">
        <v>0.75</v>
      </c>
      <c r="H5" s="7"/>
      <c r="I5" s="8"/>
      <c r="J5" s="9" t="s">
        <v>24</v>
      </c>
    </row>
    <row r="6" spans="1:10" ht="65" x14ac:dyDescent="0.35">
      <c r="A6" s="25">
        <v>13</v>
      </c>
      <c r="B6" s="4" t="s">
        <v>10</v>
      </c>
      <c r="C6" s="4" t="s">
        <v>18</v>
      </c>
      <c r="D6" s="4">
        <v>5</v>
      </c>
      <c r="E6" s="11" t="s">
        <v>25</v>
      </c>
      <c r="F6" s="10" t="s">
        <v>26</v>
      </c>
      <c r="G6" s="6">
        <v>0.5</v>
      </c>
      <c r="H6" s="7"/>
      <c r="I6" s="8"/>
      <c r="J6" s="9" t="s">
        <v>27</v>
      </c>
    </row>
    <row r="7" spans="1:10" ht="65" x14ac:dyDescent="0.35">
      <c r="A7" s="25">
        <v>13</v>
      </c>
      <c r="B7" s="4" t="s">
        <v>10</v>
      </c>
      <c r="C7" s="4" t="s">
        <v>18</v>
      </c>
      <c r="D7" s="4">
        <v>6</v>
      </c>
      <c r="E7" s="4" t="s">
        <v>28</v>
      </c>
      <c r="F7" s="10" t="s">
        <v>29</v>
      </c>
      <c r="G7" s="6">
        <v>0.5</v>
      </c>
      <c r="H7" s="7"/>
      <c r="I7" s="8"/>
      <c r="J7" s="9" t="s">
        <v>30</v>
      </c>
    </row>
    <row r="8" spans="1:10" ht="91" x14ac:dyDescent="0.35">
      <c r="A8" s="25">
        <v>13</v>
      </c>
      <c r="B8" s="4" t="s">
        <v>10</v>
      </c>
      <c r="C8" s="4" t="s">
        <v>31</v>
      </c>
      <c r="D8" s="4">
        <v>7</v>
      </c>
      <c r="E8" s="4" t="s">
        <v>32</v>
      </c>
      <c r="F8" s="10" t="s">
        <v>33</v>
      </c>
      <c r="G8" s="6">
        <v>0.25</v>
      </c>
      <c r="H8" s="7"/>
      <c r="I8" s="8"/>
      <c r="J8" s="9" t="s">
        <v>34</v>
      </c>
    </row>
    <row r="9" spans="1:10" ht="15" thickBot="1" x14ac:dyDescent="0.4">
      <c r="A9" s="26"/>
      <c r="B9" s="12"/>
      <c r="C9" s="12"/>
      <c r="D9" s="12"/>
      <c r="E9" s="12"/>
      <c r="F9" s="13" t="s">
        <v>35</v>
      </c>
      <c r="G9" s="14">
        <f>SUBTOTAL(109,G2:G8)</f>
        <v>2.75</v>
      </c>
      <c r="H9" s="15"/>
      <c r="I9" s="16"/>
      <c r="J9" s="17"/>
    </row>
    <row r="10" spans="1:10" ht="52" x14ac:dyDescent="0.35">
      <c r="A10" s="18">
        <v>14</v>
      </c>
      <c r="B10" s="19" t="s">
        <v>36</v>
      </c>
      <c r="C10" s="19" t="s">
        <v>37</v>
      </c>
      <c r="D10" s="19">
        <v>1</v>
      </c>
      <c r="E10" s="19" t="s">
        <v>38</v>
      </c>
      <c r="F10" s="20" t="s">
        <v>39</v>
      </c>
      <c r="G10" s="21">
        <v>0</v>
      </c>
      <c r="H10" s="22"/>
      <c r="I10" s="23"/>
      <c r="J10" s="24"/>
    </row>
    <row r="11" spans="1:10" ht="52" x14ac:dyDescent="0.35">
      <c r="A11" s="25">
        <v>14</v>
      </c>
      <c r="B11" s="4" t="s">
        <v>36</v>
      </c>
      <c r="C11" s="4" t="s">
        <v>37</v>
      </c>
      <c r="D11" s="4">
        <v>2</v>
      </c>
      <c r="E11" s="4" t="s">
        <v>40</v>
      </c>
      <c r="F11" s="5" t="s">
        <v>41</v>
      </c>
      <c r="G11" s="6">
        <v>0.5</v>
      </c>
      <c r="H11" s="7"/>
      <c r="I11" s="8"/>
      <c r="J11" s="9" t="s">
        <v>17</v>
      </c>
    </row>
    <row r="12" spans="1:10" ht="39" x14ac:dyDescent="0.35">
      <c r="A12" s="25">
        <v>14</v>
      </c>
      <c r="B12" s="4" t="s">
        <v>36</v>
      </c>
      <c r="C12" s="4" t="s">
        <v>18</v>
      </c>
      <c r="D12" s="4">
        <v>3</v>
      </c>
      <c r="E12" s="4" t="s">
        <v>42</v>
      </c>
      <c r="F12" s="5" t="s">
        <v>43</v>
      </c>
      <c r="G12" s="6">
        <v>0.25</v>
      </c>
      <c r="H12" s="7"/>
      <c r="I12" s="8"/>
      <c r="J12" s="9" t="s">
        <v>21</v>
      </c>
    </row>
    <row r="13" spans="1:10" ht="78" x14ac:dyDescent="0.35">
      <c r="A13" s="25">
        <v>14</v>
      </c>
      <c r="B13" s="4" t="s">
        <v>36</v>
      </c>
      <c r="C13" s="4" t="s">
        <v>18</v>
      </c>
      <c r="D13" s="4">
        <v>4</v>
      </c>
      <c r="E13" s="4" t="s">
        <v>44</v>
      </c>
      <c r="F13" s="10" t="s">
        <v>45</v>
      </c>
      <c r="G13" s="6">
        <v>1.5</v>
      </c>
      <c r="H13" s="7"/>
      <c r="I13" s="8"/>
      <c r="J13" s="9" t="s">
        <v>46</v>
      </c>
    </row>
    <row r="14" spans="1:10" ht="52" x14ac:dyDescent="0.35">
      <c r="A14" s="25">
        <v>14</v>
      </c>
      <c r="B14" s="4" t="s">
        <v>36</v>
      </c>
      <c r="C14" s="4" t="s">
        <v>47</v>
      </c>
      <c r="D14" s="4">
        <v>5</v>
      </c>
      <c r="E14" s="11" t="s">
        <v>48</v>
      </c>
      <c r="F14" s="10" t="s">
        <v>49</v>
      </c>
      <c r="G14" s="6">
        <v>0.5</v>
      </c>
      <c r="H14" s="7"/>
      <c r="I14" s="8"/>
      <c r="J14" s="9" t="s">
        <v>50</v>
      </c>
    </row>
    <row r="15" spans="1:10" ht="15" thickBot="1" x14ac:dyDescent="0.4">
      <c r="A15" s="26"/>
      <c r="B15" s="12"/>
      <c r="C15" s="12"/>
      <c r="D15" s="12"/>
      <c r="E15" s="27"/>
      <c r="F15" s="13" t="s">
        <v>51</v>
      </c>
      <c r="G15" s="14">
        <f>SUM(G11:G14)</f>
        <v>2.75</v>
      </c>
      <c r="H15" s="15"/>
      <c r="I15" s="16"/>
      <c r="J15" s="17"/>
    </row>
    <row r="16" spans="1:10" ht="78" x14ac:dyDescent="0.35">
      <c r="A16" s="18">
        <v>15</v>
      </c>
      <c r="B16" s="19" t="s">
        <v>52</v>
      </c>
      <c r="C16" s="19" t="s">
        <v>53</v>
      </c>
      <c r="D16" s="19">
        <v>1</v>
      </c>
      <c r="E16" s="19" t="s">
        <v>54</v>
      </c>
      <c r="F16" s="28" t="s">
        <v>55</v>
      </c>
      <c r="G16" s="21">
        <v>0.5</v>
      </c>
      <c r="H16" s="22"/>
      <c r="I16" s="23"/>
      <c r="J16" s="9" t="s">
        <v>56</v>
      </c>
    </row>
    <row r="17" spans="1:10" ht="78" x14ac:dyDescent="0.35">
      <c r="A17" s="25">
        <v>15</v>
      </c>
      <c r="B17" s="4" t="s">
        <v>52</v>
      </c>
      <c r="C17" s="4" t="s">
        <v>18</v>
      </c>
      <c r="D17" s="4">
        <v>2</v>
      </c>
      <c r="E17" s="4" t="s">
        <v>57</v>
      </c>
      <c r="F17" s="10" t="s">
        <v>58</v>
      </c>
      <c r="G17" s="6">
        <v>2</v>
      </c>
      <c r="H17" s="7"/>
      <c r="I17" s="8"/>
      <c r="J17" s="9" t="s">
        <v>59</v>
      </c>
    </row>
    <row r="18" spans="1:10" ht="65" x14ac:dyDescent="0.35">
      <c r="A18" s="25">
        <v>15</v>
      </c>
      <c r="B18" s="4" t="s">
        <v>52</v>
      </c>
      <c r="C18" s="4" t="s">
        <v>18</v>
      </c>
      <c r="D18" s="4">
        <v>3</v>
      </c>
      <c r="E18" s="4" t="s">
        <v>60</v>
      </c>
      <c r="F18" s="10" t="s">
        <v>61</v>
      </c>
      <c r="G18" s="6">
        <v>1</v>
      </c>
      <c r="H18" s="7"/>
      <c r="I18" s="8"/>
      <c r="J18" s="9" t="s">
        <v>62</v>
      </c>
    </row>
    <row r="19" spans="1:10" ht="78" x14ac:dyDescent="0.35">
      <c r="A19" s="25">
        <v>15</v>
      </c>
      <c r="B19" s="4" t="s">
        <v>52</v>
      </c>
      <c r="C19" s="4" t="s">
        <v>63</v>
      </c>
      <c r="D19" s="4">
        <v>4</v>
      </c>
      <c r="E19" s="4" t="s">
        <v>64</v>
      </c>
      <c r="F19" s="10" t="s">
        <v>65</v>
      </c>
      <c r="G19" s="6">
        <v>0.5</v>
      </c>
      <c r="H19" s="7"/>
      <c r="I19" s="8"/>
      <c r="J19" s="9" t="s">
        <v>66</v>
      </c>
    </row>
    <row r="20" spans="1:10" ht="15" thickBot="1" x14ac:dyDescent="0.4">
      <c r="A20" s="26"/>
      <c r="B20" s="12"/>
      <c r="C20" s="12"/>
      <c r="D20" s="12"/>
      <c r="E20" s="12"/>
      <c r="F20" s="13" t="s">
        <v>67</v>
      </c>
      <c r="G20" s="14">
        <f>SUM(G16:G19)</f>
        <v>4</v>
      </c>
      <c r="H20" s="15"/>
      <c r="I20" s="16"/>
      <c r="J20" s="17"/>
    </row>
    <row r="21" spans="1:10" ht="91" x14ac:dyDescent="0.35">
      <c r="A21" s="18">
        <v>16</v>
      </c>
      <c r="B21" s="19" t="s">
        <v>68</v>
      </c>
      <c r="C21" s="19" t="s">
        <v>53</v>
      </c>
      <c r="D21" s="19">
        <v>1</v>
      </c>
      <c r="E21" s="19" t="s">
        <v>54</v>
      </c>
      <c r="F21" s="28" t="s">
        <v>69</v>
      </c>
      <c r="G21" s="21">
        <v>1</v>
      </c>
      <c r="H21" s="22"/>
      <c r="I21" s="23"/>
      <c r="J21" s="24"/>
    </row>
    <row r="22" spans="1:10" ht="78" x14ac:dyDescent="0.35">
      <c r="A22" s="25">
        <v>16</v>
      </c>
      <c r="B22" s="4" t="s">
        <v>68</v>
      </c>
      <c r="C22" s="4" t="s">
        <v>18</v>
      </c>
      <c r="D22" s="4">
        <v>2</v>
      </c>
      <c r="E22" s="4" t="s">
        <v>57</v>
      </c>
      <c r="F22" s="10" t="s">
        <v>70</v>
      </c>
      <c r="G22" s="6">
        <v>3</v>
      </c>
      <c r="H22" s="7"/>
      <c r="I22" s="8"/>
      <c r="J22" s="9" t="s">
        <v>71</v>
      </c>
    </row>
    <row r="23" spans="1:10" ht="78" x14ac:dyDescent="0.35">
      <c r="A23" s="25">
        <v>16</v>
      </c>
      <c r="B23" s="4" t="s">
        <v>68</v>
      </c>
      <c r="C23" s="4" t="s">
        <v>18</v>
      </c>
      <c r="D23" s="4">
        <v>3</v>
      </c>
      <c r="E23" s="4" t="s">
        <v>60</v>
      </c>
      <c r="F23" s="10" t="s">
        <v>72</v>
      </c>
      <c r="G23" s="6">
        <v>3</v>
      </c>
      <c r="H23" s="7"/>
      <c r="I23" s="8"/>
      <c r="J23" s="9" t="s">
        <v>62</v>
      </c>
    </row>
    <row r="24" spans="1:10" ht="91" x14ac:dyDescent="0.35">
      <c r="A24" s="25">
        <v>16</v>
      </c>
      <c r="B24" s="4" t="s">
        <v>68</v>
      </c>
      <c r="C24" s="4" t="s">
        <v>63</v>
      </c>
      <c r="D24" s="4">
        <v>4</v>
      </c>
      <c r="E24" s="4" t="s">
        <v>64</v>
      </c>
      <c r="F24" s="10" t="s">
        <v>73</v>
      </c>
      <c r="G24" s="6">
        <v>1</v>
      </c>
      <c r="H24" s="7"/>
      <c r="I24" s="8"/>
      <c r="J24" s="9" t="s">
        <v>66</v>
      </c>
    </row>
    <row r="25" spans="1:10" ht="15" thickBot="1" x14ac:dyDescent="0.4">
      <c r="A25" s="26"/>
      <c r="B25" s="12"/>
      <c r="C25" s="12"/>
      <c r="D25" s="12"/>
      <c r="E25" s="12"/>
      <c r="F25" s="13" t="s">
        <v>74</v>
      </c>
      <c r="G25" s="14">
        <f>SUM(G21:G24)</f>
        <v>8</v>
      </c>
      <c r="H25" s="15"/>
      <c r="I25" s="16"/>
      <c r="J25" s="17"/>
    </row>
    <row r="26" spans="1:10" ht="39" x14ac:dyDescent="0.35">
      <c r="A26" s="18">
        <v>17</v>
      </c>
      <c r="B26" s="19" t="s">
        <v>75</v>
      </c>
      <c r="C26" s="19" t="s">
        <v>11</v>
      </c>
      <c r="D26" s="19">
        <v>1</v>
      </c>
      <c r="E26" s="29" t="s">
        <v>76</v>
      </c>
      <c r="F26" s="20" t="s">
        <v>77</v>
      </c>
      <c r="G26" s="21">
        <v>0.15</v>
      </c>
      <c r="H26" s="22"/>
      <c r="I26" s="23"/>
      <c r="J26" s="24" t="s">
        <v>78</v>
      </c>
    </row>
    <row r="27" spans="1:10" ht="39" x14ac:dyDescent="0.35">
      <c r="A27" s="25">
        <v>17</v>
      </c>
      <c r="B27" s="4" t="s">
        <v>75</v>
      </c>
      <c r="C27" s="4" t="s">
        <v>11</v>
      </c>
      <c r="D27" s="4">
        <v>2</v>
      </c>
      <c r="E27" s="11" t="s">
        <v>79</v>
      </c>
      <c r="F27" s="10" t="s">
        <v>80</v>
      </c>
      <c r="G27" s="6">
        <v>0.1</v>
      </c>
      <c r="H27" s="7"/>
      <c r="I27" s="8"/>
      <c r="J27" s="9" t="s">
        <v>81</v>
      </c>
    </row>
    <row r="28" spans="1:10" ht="143" x14ac:dyDescent="0.35">
      <c r="A28" s="25">
        <v>17</v>
      </c>
      <c r="B28" s="4" t="s">
        <v>75</v>
      </c>
      <c r="C28" s="4" t="s">
        <v>18</v>
      </c>
      <c r="D28" s="4">
        <v>3</v>
      </c>
      <c r="E28" s="11" t="s">
        <v>82</v>
      </c>
      <c r="F28" s="10" t="s">
        <v>83</v>
      </c>
      <c r="G28" s="6">
        <v>0.5</v>
      </c>
      <c r="H28" s="7"/>
      <c r="I28" s="8"/>
      <c r="J28" s="9" t="s">
        <v>84</v>
      </c>
    </row>
    <row r="29" spans="1:10" ht="39" x14ac:dyDescent="0.35">
      <c r="A29" s="25">
        <v>17</v>
      </c>
      <c r="B29" s="4" t="s">
        <v>75</v>
      </c>
      <c r="C29" s="4" t="s">
        <v>18</v>
      </c>
      <c r="D29" s="4">
        <v>4</v>
      </c>
      <c r="E29" s="11" t="s">
        <v>85</v>
      </c>
      <c r="F29" s="10" t="s">
        <v>86</v>
      </c>
      <c r="G29" s="6">
        <v>0.5</v>
      </c>
      <c r="H29" s="7"/>
      <c r="I29" s="8"/>
      <c r="J29" s="9"/>
    </row>
    <row r="30" spans="1:10" ht="52" x14ac:dyDescent="0.35">
      <c r="A30" s="25">
        <v>17</v>
      </c>
      <c r="B30" s="4" t="s">
        <v>75</v>
      </c>
      <c r="C30" s="4" t="s">
        <v>18</v>
      </c>
      <c r="D30" s="4">
        <v>5</v>
      </c>
      <c r="E30" s="11" t="s">
        <v>87</v>
      </c>
      <c r="F30" s="10" t="s">
        <v>88</v>
      </c>
      <c r="G30" s="6">
        <v>0.25</v>
      </c>
      <c r="H30" s="7"/>
      <c r="I30" s="8"/>
      <c r="J30" s="9" t="s">
        <v>89</v>
      </c>
    </row>
    <row r="31" spans="1:10" ht="39" x14ac:dyDescent="0.35">
      <c r="A31" s="25">
        <v>17</v>
      </c>
      <c r="B31" s="4" t="s">
        <v>75</v>
      </c>
      <c r="C31" s="4" t="s">
        <v>31</v>
      </c>
      <c r="D31" s="4">
        <v>6</v>
      </c>
      <c r="E31" s="4" t="s">
        <v>90</v>
      </c>
      <c r="F31" s="10" t="s">
        <v>91</v>
      </c>
      <c r="G31" s="6">
        <v>0.25</v>
      </c>
      <c r="H31" s="7"/>
      <c r="I31" s="8">
        <f t="shared" ref="I31" si="0">G31*(1-H31)</f>
        <v>0.25</v>
      </c>
      <c r="J31" s="9" t="s">
        <v>92</v>
      </c>
    </row>
    <row r="32" spans="1:10" ht="15" thickBot="1" x14ac:dyDescent="0.4">
      <c r="A32" s="26"/>
      <c r="B32" s="12"/>
      <c r="C32" s="12"/>
      <c r="D32" s="12"/>
      <c r="E32" s="12"/>
      <c r="F32" s="13" t="s">
        <v>93</v>
      </c>
      <c r="G32" s="30">
        <f>SUM(G26:G31)</f>
        <v>1.75</v>
      </c>
      <c r="H32" s="15"/>
      <c r="I32" s="16"/>
      <c r="J32" s="17"/>
    </row>
    <row r="33" spans="1:10" ht="39" x14ac:dyDescent="0.35">
      <c r="A33" s="18">
        <v>18</v>
      </c>
      <c r="B33" s="19" t="s">
        <v>94</v>
      </c>
      <c r="C33" s="19" t="s">
        <v>11</v>
      </c>
      <c r="D33" s="19">
        <v>1</v>
      </c>
      <c r="E33" s="29" t="s">
        <v>76</v>
      </c>
      <c r="F33" s="20" t="s">
        <v>77</v>
      </c>
      <c r="G33" s="21">
        <v>0.15</v>
      </c>
      <c r="H33" s="22"/>
      <c r="I33" s="23"/>
      <c r="J33" s="24" t="s">
        <v>78</v>
      </c>
    </row>
    <row r="34" spans="1:10" ht="52" x14ac:dyDescent="0.35">
      <c r="A34" s="25">
        <v>18</v>
      </c>
      <c r="B34" s="4" t="s">
        <v>94</v>
      </c>
      <c r="C34" s="4" t="s">
        <v>11</v>
      </c>
      <c r="D34" s="4">
        <v>2</v>
      </c>
      <c r="E34" s="11" t="s">
        <v>95</v>
      </c>
      <c r="F34" s="5" t="s">
        <v>96</v>
      </c>
      <c r="G34" s="6">
        <v>0.1</v>
      </c>
      <c r="H34" s="7"/>
      <c r="I34" s="8"/>
      <c r="J34" s="9" t="s">
        <v>81</v>
      </c>
    </row>
    <row r="35" spans="1:10" ht="117" x14ac:dyDescent="0.35">
      <c r="A35" s="25">
        <v>18</v>
      </c>
      <c r="B35" s="4" t="s">
        <v>94</v>
      </c>
      <c r="C35" s="4" t="s">
        <v>18</v>
      </c>
      <c r="D35" s="4">
        <v>3</v>
      </c>
      <c r="E35" s="11" t="s">
        <v>82</v>
      </c>
      <c r="F35" s="10" t="s">
        <v>97</v>
      </c>
      <c r="G35" s="6">
        <v>0.5</v>
      </c>
      <c r="H35" s="7"/>
      <c r="I35" s="8"/>
      <c r="J35" s="9" t="s">
        <v>84</v>
      </c>
    </row>
    <row r="36" spans="1:10" ht="52" x14ac:dyDescent="0.35">
      <c r="A36" s="25">
        <v>18</v>
      </c>
      <c r="B36" s="4" t="s">
        <v>94</v>
      </c>
      <c r="C36" s="4" t="s">
        <v>18</v>
      </c>
      <c r="D36" s="4">
        <v>4</v>
      </c>
      <c r="E36" s="4" t="s">
        <v>98</v>
      </c>
      <c r="F36" s="10" t="s">
        <v>99</v>
      </c>
      <c r="G36" s="6">
        <v>0.5</v>
      </c>
      <c r="H36" s="7"/>
      <c r="I36" s="8"/>
      <c r="J36" s="9"/>
    </row>
    <row r="37" spans="1:10" ht="52" x14ac:dyDescent="0.35">
      <c r="A37" s="31">
        <v>18</v>
      </c>
      <c r="B37" s="32" t="s">
        <v>94</v>
      </c>
      <c r="C37" s="4" t="s">
        <v>18</v>
      </c>
      <c r="D37" s="4">
        <v>5</v>
      </c>
      <c r="E37" s="4" t="s">
        <v>100</v>
      </c>
      <c r="F37" s="10" t="s">
        <v>101</v>
      </c>
      <c r="G37" s="6">
        <v>0.25</v>
      </c>
      <c r="H37" s="33"/>
      <c r="I37" s="34"/>
      <c r="J37" s="9" t="s">
        <v>89</v>
      </c>
    </row>
    <row r="38" spans="1:10" ht="52" x14ac:dyDescent="0.35">
      <c r="A38" s="31">
        <v>18</v>
      </c>
      <c r="B38" s="32" t="s">
        <v>94</v>
      </c>
      <c r="C38" s="4" t="s">
        <v>31</v>
      </c>
      <c r="D38" s="4">
        <v>6</v>
      </c>
      <c r="E38" s="4" t="s">
        <v>102</v>
      </c>
      <c r="F38" s="10" t="s">
        <v>103</v>
      </c>
      <c r="G38" s="6">
        <v>0.25</v>
      </c>
      <c r="H38" s="7"/>
      <c r="I38" s="8"/>
      <c r="J38" s="9" t="s">
        <v>92</v>
      </c>
    </row>
    <row r="39" spans="1:10" ht="15" thickBot="1" x14ac:dyDescent="0.4">
      <c r="A39" s="26"/>
      <c r="B39" s="12"/>
      <c r="C39" s="12"/>
      <c r="D39" s="12"/>
      <c r="E39" s="12"/>
      <c r="F39" s="13" t="s">
        <v>104</v>
      </c>
      <c r="G39" s="30">
        <f>SUM(G33:G38)</f>
        <v>1.75</v>
      </c>
      <c r="H39" s="35"/>
      <c r="I39" s="36"/>
      <c r="J39" s="37"/>
    </row>
  </sheetData>
  <conditionalFormatting sqref="H2:H39">
    <cfRule type="colorScale" priority="1">
      <colorScale>
        <cfvo type="num" val="0.15"/>
        <cfvo type="num" val="0.4"/>
        <cfvo type="num" val="0.65"/>
        <color rgb="FFFDE9E7"/>
        <color rgb="FFFFF2CC"/>
        <color rgb="FFE2F0D9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Shankar, Shiva B.</dc:creator>
  <cp:lastModifiedBy>Arya, Eesha</cp:lastModifiedBy>
  <dcterms:created xsi:type="dcterms:W3CDTF">2026-03-09T11:56:02Z</dcterms:created>
  <dcterms:modified xsi:type="dcterms:W3CDTF">2026-03-12T05:15:34Z</dcterms:modified>
</cp:coreProperties>
</file>